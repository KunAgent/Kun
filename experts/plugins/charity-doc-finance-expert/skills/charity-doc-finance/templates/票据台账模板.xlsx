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台账" sheetId="2" state="visible" r:id="rId2"/>
    <sheet xmlns:r="http://schemas.openxmlformats.org/officeDocument/2006/relationships" name="分类汇总" sheetId="3" state="visible" r:id="rId3"/>
    <sheet xmlns:r="http://schemas.openxmlformats.org/officeDocument/2006/relationships" name="月度统计" sheetId="4" state="visible" r:id="rId4"/>
    <sheet xmlns:r="http://schemas.openxmlformats.org/officeDocument/2006/relationships" name="需复核清单" sheetId="5" state="visible" r:id="rId5"/>
    <sheet xmlns:r="http://schemas.openxmlformats.org/officeDocument/2006/relationships" name="统计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sz val="10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i val="1"/>
      <color rgb="007F7F7F"/>
      <sz val="10"/>
    </font>
    <font>
      <name val="微软雅黑"/>
      <b val="1"/>
      <sz val="11"/>
    </font>
    <font>
      <name val="微软雅黑"/>
      <b val="1"/>
      <color rgb="001F4E79"/>
      <sz val="11"/>
    </font>
    <font>
      <name val="微软雅黑"/>
      <i val="1"/>
      <color rgb="007F7F7F"/>
      <sz val="9"/>
    </font>
    <font>
      <b val="1"/>
      <color rgb="001F4E79"/>
    </font>
    <font>
      <name val="微软雅黑"/>
      <b val="1"/>
      <color rgb="00C00000"/>
      <sz val="14"/>
    </font>
    <font>
      <name val="微软雅黑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vertical="center" wrapText="1"/>
    </xf>
    <xf numFmtId="0" fontId="6" fillId="0" borderId="0" pivotButton="0" quotePrefix="0" xfId="0"/>
    <xf numFmtId="4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69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【公益机构 · 票据台账模板 v1.2】</t>
        </is>
      </c>
    </row>
    <row r="2">
      <c r="A2" s="2" t="inlineStr"/>
    </row>
    <row r="3">
      <c r="A3" s="2" t="inlineStr">
        <is>
          <t>本模板配套《公益财会助手》skill · 路径A（手工整理 SOP）或 路径B（AI辅助）使用。</t>
        </is>
      </c>
    </row>
    <row r="4">
      <c r="A4" s="2" t="inlineStr"/>
    </row>
    <row r="5">
      <c r="A5" s="3" t="inlineStr">
        <is>
          <t>【使用方法】</t>
        </is>
      </c>
    </row>
    <row r="6">
      <c r="A6" s="2" t="inlineStr">
        <is>
          <t>1. 每月复制一份本文件，改名为 票据台账_YYYY-MM.xlsx</t>
        </is>
      </c>
    </row>
    <row r="7">
      <c r="A7" s="2" t="inlineStr">
        <is>
          <t>2. 在「总台账」Sheet 逐行录入本月票据</t>
        </is>
      </c>
    </row>
    <row r="8">
      <c r="A8" s="2" t="inlineStr">
        <is>
          <t>3. 「分类汇总」「月度统计」「需复核清单」会根据总台账自动更新</t>
        </is>
      </c>
    </row>
    <row r="9">
      <c r="A9" s="2" t="inlineStr">
        <is>
          <t>4. 完成后在「统计信息」Sheet 核对合计数是否与银行流水一致</t>
        </is>
      </c>
    </row>
    <row r="10">
      <c r="A10" s="2" t="inlineStr">
        <is>
          <t>5. 打印「总台账」供三级签字</t>
        </is>
      </c>
    </row>
    <row r="11">
      <c r="A11" s="2" t="inlineStr"/>
    </row>
    <row r="12">
      <c r="A12" s="3" t="inlineStr">
        <is>
          <t>【铁律】</t>
        </is>
      </c>
    </row>
    <row r="13">
      <c r="A13" s="2" t="inlineStr">
        <is>
          <t>· 每张票都要填「复核状态」列：未复核 / 已复核 / 已归档</t>
        </is>
      </c>
    </row>
    <row r="14">
      <c r="A14" s="2" t="inlineStr">
        <is>
          <t>· 仅「已复核」或「已归档」的票据可进入会计系统入账</t>
        </is>
      </c>
    </row>
    <row r="15">
      <c r="A15" s="2" t="inlineStr">
        <is>
          <t>· 金额 &gt; 3000 元的行会自动标红提醒</t>
        </is>
      </c>
    </row>
    <row r="16">
      <c r="A16" s="2" t="inlineStr">
        <is>
          <t>· 现金支付 + 金额 &gt; 3000 元会标红预警（违反《慈善法》第57条）</t>
        </is>
      </c>
    </row>
    <row r="17">
      <c r="A17" s="2" t="inlineStr">
        <is>
          <t>· 任意核心字段（日期/金额/发票号/销方）留空 → 自动进「需复核清单」</t>
        </is>
      </c>
    </row>
    <row r="18">
      <c r="A18" s="2" t="inlineStr"/>
    </row>
    <row r="19">
      <c r="A19" s="3" t="inlineStr">
        <is>
          <t>【字段说明】</t>
        </is>
      </c>
    </row>
    <row r="20">
      <c r="A20" s="2" t="inlineStr">
        <is>
          <t>编号 ：YYYY-MM-类别-顺序号，如 2026-04-差旅-001</t>
        </is>
      </c>
    </row>
    <row r="21">
      <c r="A21" s="2" t="inlineStr">
        <is>
          <t>日期 ：票据开具日期或出行日期，格式 YYYY-MM-DD</t>
        </is>
      </c>
    </row>
    <row r="22">
      <c r="A22" s="2" t="inlineStr">
        <is>
          <t>类别 ：下拉菜单，六大类之一</t>
        </is>
      </c>
    </row>
    <row r="23">
      <c r="A23" s="2" t="inlineStr">
        <is>
          <t>销方/捐赠人 ：开票方名称 或 捐赠票据上的捐赠人名称</t>
        </is>
      </c>
    </row>
    <row r="24">
      <c r="A24" s="2" t="inlineStr">
        <is>
          <t>金额 ：价税合计（小写），单位元，保留两位小数</t>
        </is>
      </c>
    </row>
    <row r="25">
      <c r="A25" s="2" t="inlineStr">
        <is>
          <t>支付方式 ：下拉菜单（转账/现金/微信/支付宝/对公）</t>
        </is>
      </c>
    </row>
    <row r="26">
      <c r="A26" s="2" t="inlineStr">
        <is>
          <t>用途 ：具体业务，不要只写「办公」「杂项」</t>
        </is>
      </c>
    </row>
    <row r="27">
      <c r="A27" s="2" t="inlineStr">
        <is>
          <t>对应项目 ：机构项目代号，行政开支填「行政」</t>
        </is>
      </c>
    </row>
    <row r="28">
      <c r="A28" s="2" t="inlineStr">
        <is>
          <t>复核状态 ：下拉菜单</t>
        </is>
      </c>
    </row>
    <row r="29">
      <c r="A29" s="2" t="inlineStr">
        <is>
          <t>备注 ：异常/跨期/特批 等特殊情况说明</t>
        </is>
      </c>
    </row>
    <row r="30">
      <c r="A30" s="2" t="inlineStr"/>
    </row>
    <row r="31">
      <c r="A31" s="3" t="inlineStr">
        <is>
          <t>【版本】v1.2  ·  2026-04  ·  配套公益财会助手 skill v1.2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32" customWidth="1" min="7" max="7"/>
    <col width="14" customWidth="1" min="8" max="8"/>
    <col width="12" customWidth="1" min="9" max="9"/>
    <col width="24" customWidth="1" min="10" max="10"/>
  </cols>
  <sheetData>
    <row r="1" ht="24" customHeight="1">
      <c r="A1" s="4" t="inlineStr">
        <is>
          <t>编号</t>
        </is>
      </c>
      <c r="B1" s="4" t="inlineStr">
        <is>
          <t>日期</t>
        </is>
      </c>
      <c r="C1" s="4" t="inlineStr">
        <is>
          <t>类别</t>
        </is>
      </c>
      <c r="D1" s="4" t="inlineStr">
        <is>
          <t>销方/捐赠人</t>
        </is>
      </c>
      <c r="E1" s="4" t="inlineStr">
        <is>
          <t>金额(元)</t>
        </is>
      </c>
      <c r="F1" s="4" t="inlineStr">
        <is>
          <t>支付方式</t>
        </is>
      </c>
      <c r="G1" s="4" t="inlineStr">
        <is>
          <t>用途</t>
        </is>
      </c>
      <c r="H1" s="4" t="inlineStr">
        <is>
          <t>对应项目</t>
        </is>
      </c>
      <c r="I1" s="4" t="inlineStr">
        <is>
          <t>复核状态</t>
        </is>
      </c>
      <c r="J1" s="4" t="inlineStr">
        <is>
          <t>备注</t>
        </is>
      </c>
    </row>
    <row r="2">
      <c r="A2" s="5" t="inlineStr">
        <is>
          <t>2026-04-差旅-001</t>
        </is>
      </c>
      <c r="B2" s="5" t="inlineStr">
        <is>
          <t>2026-04-03</t>
        </is>
      </c>
      <c r="C2" s="5" t="inlineStr">
        <is>
          <t>差旅-飞机</t>
        </is>
      </c>
      <c r="D2" s="5" t="inlineStr">
        <is>
          <t>测试航空</t>
        </is>
      </c>
      <c r="E2" s="6" t="n">
        <v>1340</v>
      </c>
      <c r="F2" s="5" t="inlineStr">
        <is>
          <t>对公转账</t>
        </is>
      </c>
      <c r="G2" s="5" t="inlineStr">
        <is>
          <t>项目启动会议 上海-广州</t>
        </is>
      </c>
      <c r="H2" s="5" t="inlineStr">
        <is>
          <t>儿童关爱-2026</t>
        </is>
      </c>
      <c r="I2" s="5" t="inlineStr">
        <is>
          <t>已复核</t>
        </is>
      </c>
      <c r="J2" s="5" t="inlineStr">
        <is>
          <t>附出差审批单</t>
        </is>
      </c>
    </row>
    <row r="3">
      <c r="A3" s="5" t="inlineStr">
        <is>
          <t>2026-04-餐饮-001</t>
        </is>
      </c>
      <c r="B3" s="5" t="inlineStr">
        <is>
          <t>2026-04-05</t>
        </is>
      </c>
      <c r="C3" s="5" t="inlineStr">
        <is>
          <t>餐饮</t>
        </is>
      </c>
      <c r="D3" s="5" t="inlineStr">
        <is>
          <t>测试老乡鸡餐饮</t>
        </is>
      </c>
      <c r="E3" s="6" t="n">
        <v>2143.75</v>
      </c>
      <c r="F3" s="5" t="inlineStr">
        <is>
          <t>对公转账</t>
        </is>
      </c>
      <c r="G3" s="5" t="inlineStr">
        <is>
          <t>项目启动会议餐饮 12人</t>
        </is>
      </c>
      <c r="H3" s="5" t="inlineStr">
        <is>
          <t>儿童关爱-2026</t>
        </is>
      </c>
      <c r="I3" s="5" t="inlineStr">
        <is>
          <t>未复核</t>
        </is>
      </c>
      <c r="J3" s="5" t="inlineStr">
        <is>
          <t>附议程+参会名单</t>
        </is>
      </c>
    </row>
    <row r="4">
      <c r="A4" s="5" t="inlineStr">
        <is>
          <t>2026-04-捐赠-001</t>
        </is>
      </c>
      <c r="B4" s="5" t="inlineStr">
        <is>
          <t>2026-04-10</t>
        </is>
      </c>
      <c r="C4" s="5" t="inlineStr">
        <is>
          <t>捐赠票据</t>
        </is>
      </c>
      <c r="D4" s="5" t="inlineStr">
        <is>
          <t>张XX（个人捐赠人）</t>
        </is>
      </c>
      <c r="E4" s="6" t="n">
        <v>5000</v>
      </c>
      <c r="F4" s="5" t="inlineStr">
        <is>
          <t>微信</t>
        </is>
      </c>
      <c r="G4" s="5" t="inlineStr">
        <is>
          <t>项目定向捐赠</t>
        </is>
      </c>
      <c r="H4" s="5" t="inlineStr">
        <is>
          <t>儿童关爱-2026</t>
        </is>
      </c>
      <c r="I4" s="5" t="inlineStr">
        <is>
          <t>未复核</t>
        </is>
      </c>
      <c r="J4" s="5" t="inlineStr">
        <is>
          <t>粤捐字 001 号</t>
        </is>
      </c>
    </row>
    <row r="502">
      <c r="A502" s="7" t="inlineStr">
        <is>
          <t>合计</t>
        </is>
      </c>
      <c r="E502" s="8">
        <f>SUMIF(I2:I500,"已复核",E2:E500)+SUMIF(I2:I500,"已归档",E2:E500)</f>
        <v/>
      </c>
      <c r="F502" s="9" t="inlineStr">
        <is>
          <t>（仅统计已复核/已归档行，未复核不计入）</t>
        </is>
      </c>
    </row>
  </sheetData>
  <conditionalFormatting sqref="A2:J500">
    <cfRule type="expression" priority="1" dxfId="0">
      <formula>$E2&gt;3000</formula>
    </cfRule>
    <cfRule type="expression" priority="2" dxfId="1">
      <formula>AND($E2&gt;3000,$F2="现金")</formula>
    </cfRule>
    <cfRule type="expression" priority="3" dxfId="2">
      <formula>OR($I2="已复核",$I2="已归档")</formula>
    </cfRule>
  </conditionalFormatting>
  <dataValidations count="3">
    <dataValidation sqref="C2:C500" showDropDown="0" showInputMessage="0" showErrorMessage="0" allowBlank="0" errorTitle="类别错误" error="请从下拉菜单选择六大类之一" type="list">
      <formula1>"增值税-专票,增值税-普票,电子发票,捐赠票据,差旅-火车,差旅-飞机,差旅-出租,差旅-住宿,餐饮,其他"</formula1>
    </dataValidation>
    <dataValidation sqref="F2:F500" showDropDown="0" showInputMessage="0" showErrorMessage="0" allowBlank="1" type="list">
      <formula1>"对公转账,个人转账,现金,微信,支付宝,银行汇票,其他"</formula1>
    </dataValidation>
    <dataValidation sqref="I2:I500" showDropDown="0" showInputMessage="0" showErrorMessage="0" allowBlank="0" error="请选择复核状态" type="list">
      <formula1>"未复核,已复核,已归档,需重开,需补充材料"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</cols>
  <sheetData>
    <row r="1">
      <c r="A1" s="10" t="inlineStr">
        <is>
          <t>类别</t>
        </is>
      </c>
      <c r="B1" s="10" t="inlineStr">
        <is>
          <t>张数</t>
        </is>
      </c>
      <c r="C1" s="10" t="inlineStr">
        <is>
          <t>金额合计(元)</t>
        </is>
      </c>
    </row>
    <row r="2">
      <c r="A2" t="inlineStr">
        <is>
          <t>增值税-专票</t>
        </is>
      </c>
      <c r="B2">
        <f>COUNTIF(总台账!C2:C500,A2)</f>
        <v/>
      </c>
      <c r="C2" s="11">
        <f>SUMIF(总台账!C2:C500,A2,总台账!E2:E500)</f>
        <v/>
      </c>
    </row>
    <row r="3">
      <c r="A3" t="inlineStr">
        <is>
          <t>增值税-普票</t>
        </is>
      </c>
      <c r="B3">
        <f>COUNTIF(总台账!C2:C500,A3)</f>
        <v/>
      </c>
      <c r="C3" s="11">
        <f>SUMIF(总台账!C2:C500,A3,总台账!E2:E500)</f>
        <v/>
      </c>
    </row>
    <row r="4">
      <c r="A4" t="inlineStr">
        <is>
          <t>电子发票</t>
        </is>
      </c>
      <c r="B4">
        <f>COUNTIF(总台账!C2:C500,A4)</f>
        <v/>
      </c>
      <c r="C4" s="11">
        <f>SUMIF(总台账!C2:C500,A4,总台账!E2:E500)</f>
        <v/>
      </c>
    </row>
    <row r="5">
      <c r="A5" t="inlineStr">
        <is>
          <t>捐赠票据</t>
        </is>
      </c>
      <c r="B5">
        <f>COUNTIF(总台账!C2:C500,A5)</f>
        <v/>
      </c>
      <c r="C5" s="11">
        <f>SUMIF(总台账!C2:C500,A5,总台账!E2:E500)</f>
        <v/>
      </c>
    </row>
    <row r="6">
      <c r="A6" t="inlineStr">
        <is>
          <t>差旅-火车</t>
        </is>
      </c>
      <c r="B6">
        <f>COUNTIF(总台账!C2:C500,A6)</f>
        <v/>
      </c>
      <c r="C6" s="11">
        <f>SUMIF(总台账!C2:C500,A6,总台账!E2:E500)</f>
        <v/>
      </c>
    </row>
    <row r="7">
      <c r="A7" t="inlineStr">
        <is>
          <t>差旅-飞机</t>
        </is>
      </c>
      <c r="B7">
        <f>COUNTIF(总台账!C2:C500,A7)</f>
        <v/>
      </c>
      <c r="C7" s="11">
        <f>SUMIF(总台账!C2:C500,A7,总台账!E2:E500)</f>
        <v/>
      </c>
    </row>
    <row r="8">
      <c r="A8" t="inlineStr">
        <is>
          <t>差旅-出租</t>
        </is>
      </c>
      <c r="B8">
        <f>COUNTIF(总台账!C2:C500,A8)</f>
        <v/>
      </c>
      <c r="C8" s="11">
        <f>SUMIF(总台账!C2:C500,A8,总台账!E2:E500)</f>
        <v/>
      </c>
    </row>
    <row r="9">
      <c r="A9" t="inlineStr">
        <is>
          <t>差旅-住宿</t>
        </is>
      </c>
      <c r="B9">
        <f>COUNTIF(总台账!C2:C500,A9)</f>
        <v/>
      </c>
      <c r="C9" s="11">
        <f>SUMIF(总台账!C2:C500,A9,总台账!E2:E500)</f>
        <v/>
      </c>
    </row>
    <row r="10">
      <c r="A10" t="inlineStr">
        <is>
          <t>餐饮</t>
        </is>
      </c>
      <c r="B10">
        <f>COUNTIF(总台账!C2:C500,A10)</f>
        <v/>
      </c>
      <c r="C10" s="11">
        <f>SUMIF(总台账!C2:C500,A10,总台账!E2:E500)</f>
        <v/>
      </c>
    </row>
    <row r="11">
      <c r="A11" t="inlineStr">
        <is>
          <t>其他</t>
        </is>
      </c>
      <c r="B11">
        <f>COUNTIF(总台账!C2:C500,A11)</f>
        <v/>
      </c>
      <c r="C11" s="11">
        <f>SUMIF(总台账!C2:C500,A11,总台账!E2:E500)</f>
        <v/>
      </c>
    </row>
    <row r="13">
      <c r="A13" s="12" t="inlineStr">
        <is>
          <t>合计</t>
        </is>
      </c>
      <c r="B13">
        <f>SUM(B2:B11)</f>
        <v/>
      </c>
      <c r="C13" s="11">
        <f>SUM(C2:C11)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</cols>
  <sheetData>
    <row r="1">
      <c r="A1" s="10" t="inlineStr">
        <is>
          <t>月份</t>
        </is>
      </c>
      <c r="B1" s="10" t="inlineStr">
        <is>
          <t>张数</t>
        </is>
      </c>
      <c r="C1" s="10" t="inlineStr">
        <is>
          <t>金额合计(元)</t>
        </is>
      </c>
    </row>
    <row r="2">
      <c r="A2" t="inlineStr">
        <is>
          <t>2026-01</t>
        </is>
      </c>
      <c r="B2">
        <f>SUMPRODUCT((TEXT(总台账!B2:B500,"YYYY-MM")=A2)*1)</f>
        <v/>
      </c>
      <c r="C2" s="11">
        <f>SUMPRODUCT((TEXT(总台账!B2:B500,"YYYY-MM")=A2)*总台账!E2:E500)</f>
        <v/>
      </c>
    </row>
    <row r="3">
      <c r="A3" t="inlineStr">
        <is>
          <t>2026-02</t>
        </is>
      </c>
      <c r="B3">
        <f>SUMPRODUCT((TEXT(总台账!B2:B500,"YYYY-MM")=A3)*1)</f>
        <v/>
      </c>
      <c r="C3" s="11">
        <f>SUMPRODUCT((TEXT(总台账!B2:B500,"YYYY-MM")=A3)*总台账!E2:E500)</f>
        <v/>
      </c>
    </row>
    <row r="4">
      <c r="A4" t="inlineStr">
        <is>
          <t>2026-03</t>
        </is>
      </c>
      <c r="B4">
        <f>SUMPRODUCT((TEXT(总台账!B2:B500,"YYYY-MM")=A4)*1)</f>
        <v/>
      </c>
      <c r="C4" s="11">
        <f>SUMPRODUCT((TEXT(总台账!B2:B500,"YYYY-MM")=A4)*总台账!E2:E500)</f>
        <v/>
      </c>
    </row>
    <row r="5">
      <c r="A5" t="inlineStr">
        <is>
          <t>2026-04</t>
        </is>
      </c>
      <c r="B5">
        <f>SUMPRODUCT((TEXT(总台账!B2:B500,"YYYY-MM")=A5)*1)</f>
        <v/>
      </c>
      <c r="C5" s="11">
        <f>SUMPRODUCT((TEXT(总台账!B2:B500,"YYYY-MM")=A5)*总台账!E2:E500)</f>
        <v/>
      </c>
    </row>
    <row r="6">
      <c r="A6" t="inlineStr">
        <is>
          <t>2026-05</t>
        </is>
      </c>
      <c r="B6">
        <f>SUMPRODUCT((TEXT(总台账!B2:B500,"YYYY-MM")=A6)*1)</f>
        <v/>
      </c>
      <c r="C6" s="11">
        <f>SUMPRODUCT((TEXT(总台账!B2:B500,"YYYY-MM")=A6)*总台账!E2:E500)</f>
        <v/>
      </c>
    </row>
    <row r="7">
      <c r="A7" t="inlineStr">
        <is>
          <t>2026-06</t>
        </is>
      </c>
      <c r="B7">
        <f>SUMPRODUCT((TEXT(总台账!B2:B500,"YYYY-MM")=A7)*1)</f>
        <v/>
      </c>
      <c r="C7" s="11">
        <f>SUMPRODUCT((TEXT(总台账!B2:B500,"YYYY-MM")=A7)*总台账!E2:E500)</f>
        <v/>
      </c>
    </row>
    <row r="8">
      <c r="A8" t="inlineStr">
        <is>
          <t>2026-07</t>
        </is>
      </c>
      <c r="B8">
        <f>SUMPRODUCT((TEXT(总台账!B2:B500,"YYYY-MM")=A8)*1)</f>
        <v/>
      </c>
      <c r="C8" s="11">
        <f>SUMPRODUCT((TEXT(总台账!B2:B500,"YYYY-MM")=A8)*总台账!E2:E500)</f>
        <v/>
      </c>
    </row>
    <row r="9">
      <c r="A9" t="inlineStr">
        <is>
          <t>2026-08</t>
        </is>
      </c>
      <c r="B9">
        <f>SUMPRODUCT((TEXT(总台账!B2:B500,"YYYY-MM")=A9)*1)</f>
        <v/>
      </c>
      <c r="C9" s="11">
        <f>SUMPRODUCT((TEXT(总台账!B2:B500,"YYYY-MM")=A9)*总台账!E2:E500)</f>
        <v/>
      </c>
    </row>
    <row r="10">
      <c r="A10" t="inlineStr">
        <is>
          <t>2026-09</t>
        </is>
      </c>
      <c r="B10">
        <f>SUMPRODUCT((TEXT(总台账!B2:B500,"YYYY-MM")=A10)*1)</f>
        <v/>
      </c>
      <c r="C10" s="11">
        <f>SUMPRODUCT((TEXT(总台账!B2:B500,"YYYY-MM")=A10)*总台账!E2:E500)</f>
        <v/>
      </c>
    </row>
    <row r="11">
      <c r="A11" t="inlineStr">
        <is>
          <t>2026-10</t>
        </is>
      </c>
      <c r="B11">
        <f>SUMPRODUCT((TEXT(总台账!B2:B500,"YYYY-MM")=A11)*1)</f>
        <v/>
      </c>
      <c r="C11" s="11">
        <f>SUMPRODUCT((TEXT(总台账!B2:B500,"YYYY-MM")=A11)*总台账!E2:E500)</f>
        <v/>
      </c>
    </row>
    <row r="12">
      <c r="A12" t="inlineStr">
        <is>
          <t>2026-11</t>
        </is>
      </c>
      <c r="B12">
        <f>SUMPRODUCT((TEXT(总台账!B2:B500,"YYYY-MM")=A12)*1)</f>
        <v/>
      </c>
      <c r="C12" s="11">
        <f>SUMPRODUCT((TEXT(总台账!B2:B500,"YYYY-MM")=A12)*总台账!E2:E500)</f>
        <v/>
      </c>
    </row>
    <row r="13">
      <c r="A13" t="inlineStr">
        <is>
          <t>2026-12</t>
        </is>
      </c>
      <c r="B13">
        <f>SUMPRODUCT((TEXT(总台账!B2:B500,"YYYY-MM")=A13)*1)</f>
        <v/>
      </c>
      <c r="C13" s="11">
        <f>SUMPRODUCT((TEXT(总台账!B2:B500,"YYYY-MM")=A13)*总台账!E2:E500)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3" t="inlineStr">
        <is>
          <t>【需复核清单 · 自动生成】</t>
        </is>
      </c>
    </row>
    <row r="2">
      <c r="A2" s="2" t="inlineStr"/>
    </row>
    <row r="3">
      <c r="A3" s="2" t="inlineStr">
        <is>
          <t>本 Sheet 实时从「总台账」同步以下情况的行，请逐条处理：</t>
        </is>
      </c>
    </row>
    <row r="4">
      <c r="A4" s="2" t="inlineStr"/>
    </row>
    <row r="5">
      <c r="A5" s="2" t="inlineStr">
        <is>
          <t>◼ 复核状态 = 未复核 的所有行</t>
        </is>
      </c>
    </row>
    <row r="6">
      <c r="A6" s="2" t="inlineStr">
        <is>
          <t>◼ 核心字段缺失（日期 / 金额 / 销方 任一为空）</t>
        </is>
      </c>
    </row>
    <row r="7">
      <c r="A7" s="2" t="inlineStr">
        <is>
          <t>◼ 金额 &gt; 3000 且 支付方式 = 现金</t>
        </is>
      </c>
    </row>
    <row r="8">
      <c r="A8" s="2" t="inlineStr">
        <is>
          <t>◼ 类别 = 其他</t>
        </is>
      </c>
    </row>
    <row r="9">
      <c r="A9" s="2" t="inlineStr"/>
    </row>
    <row r="10">
      <c r="A10" s="14" t="inlineStr">
        <is>
          <t>【处理建议】</t>
        </is>
      </c>
    </row>
    <row r="11">
      <c r="A11" s="2" t="inlineStr">
        <is>
          <t>1. 翻到「总台账」对应编号，找原票逐项核对</t>
        </is>
      </c>
    </row>
    <row r="12">
      <c r="A12" s="2" t="inlineStr">
        <is>
          <t>2. 补全字段后，把「复核状态」改成「已复核」</t>
        </is>
      </c>
    </row>
    <row r="13">
      <c r="A13" s="2" t="inlineStr">
        <is>
          <t>3. 归档装订完成后，改成「已归档」</t>
        </is>
      </c>
    </row>
    <row r="14">
      <c r="A14" s="2" t="inlineStr"/>
    </row>
    <row r="15">
      <c r="A15" s="14" t="inlineStr">
        <is>
          <t>【查询公式】</t>
        </is>
      </c>
    </row>
    <row r="16">
      <c r="A16" s="2" t="inlineStr">
        <is>
          <t>以下公式可辅助定位问题行（手动复制到其他 Sheet 使用）：</t>
        </is>
      </c>
    </row>
    <row r="17">
      <c r="A17" s="2" t="inlineStr">
        <is>
          <t>未复核行数： =COUNTIF(总台账!I2:I500,"未复核")</t>
        </is>
      </c>
    </row>
    <row r="18">
      <c r="A18" s="2" t="inlineStr">
        <is>
          <t>核心字段缺失行数： =SUMPRODUCT((总台账!B2:B500="")+(总台账!D2:D500="")+(总台账!E2:E500=""))</t>
        </is>
      </c>
    </row>
    <row r="19">
      <c r="A19" s="2" t="inlineStr">
        <is>
          <t>现金大额行数： =SUMPRODUCT((总台账!F2:F500="现金")*(总台账!E2:E500&gt;3000))</t>
        </is>
      </c>
    </row>
    <row r="22">
      <c r="A22" s="15" t="inlineStr">
        <is>
          <t>▼ 实时计数 ▼</t>
        </is>
      </c>
    </row>
    <row r="23">
      <c r="A23" t="inlineStr">
        <is>
          <t>未复核行数：</t>
        </is>
      </c>
      <c r="B23">
        <f>COUNTIF(总台账!I2:I500,"未复核")</f>
        <v/>
      </c>
    </row>
    <row r="24">
      <c r="A24" t="inlineStr">
        <is>
          <t>现金大额行数：</t>
        </is>
      </c>
      <c r="B24">
        <f>SUMPRODUCT((总台账!F2:F500="现金")*(总台账!E2:E500&gt;3000))</f>
        <v/>
      </c>
    </row>
    <row r="25">
      <c r="A25" t="inlineStr">
        <is>
          <t>类别=其他 行数：</t>
        </is>
      </c>
      <c r="B25">
        <f>COUNTIF(总台账!C2:C500,"其他")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0" t="inlineStr">
        <is>
          <t>统计项</t>
        </is>
      </c>
      <c r="B1" s="10" t="inlineStr">
        <is>
          <t>数值</t>
        </is>
      </c>
    </row>
    <row r="2">
      <c r="A2" t="inlineStr">
        <is>
          <t>总票据张数</t>
        </is>
      </c>
      <c r="B2">
        <f>COUNTA(总台账!A2:A500)-3</f>
        <v/>
      </c>
    </row>
    <row r="3">
      <c r="A3" t="inlineStr">
        <is>
          <t>总金额（已复核+已归档）</t>
        </is>
      </c>
      <c r="B3" s="11">
        <f>总台账!E502</f>
        <v/>
      </c>
    </row>
    <row r="4">
      <c r="A4" t="inlineStr">
        <is>
          <t>未复核张数</t>
        </is>
      </c>
      <c r="B4">
        <f>COUNTIF(总台账!I2:I500,"未复核")</f>
        <v/>
      </c>
    </row>
    <row r="5">
      <c r="A5" t="inlineStr">
        <is>
          <t>需重开张数</t>
        </is>
      </c>
      <c r="B5">
        <f>COUNTIF(总台账!I2:I500,"需重开")</f>
        <v/>
      </c>
    </row>
    <row r="6">
      <c r="A6" t="inlineStr">
        <is>
          <t>需补充材料张数</t>
        </is>
      </c>
      <c r="B6">
        <f>COUNTIF(总台账!I2:I500,"需补充材料")</f>
        <v/>
      </c>
    </row>
    <row r="7">
      <c r="A7" t="inlineStr">
        <is>
          <t>已复核张数</t>
        </is>
      </c>
      <c r="B7">
        <f>COUNTIF(总台账!I2:I500,"已复核")</f>
        <v/>
      </c>
    </row>
    <row r="8">
      <c r="A8" t="inlineStr">
        <is>
          <t>已归档张数</t>
        </is>
      </c>
      <c r="B8">
        <f>COUNTIF(总台账!I2:I500,"已归档")</f>
        <v/>
      </c>
    </row>
    <row r="9">
      <c r="A9" t="inlineStr">
        <is>
          <t>现金支付大额预警</t>
        </is>
      </c>
      <c r="B9">
        <f>SUMPRODUCT((总台账!F2:F500="现金")*(总台账!E2:E500&gt;3000))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2026-04-21T10:29:25Z</dcterms:created>
  <dcterms:modified xmlns:dcterms="http://purl.org/dc/terms/" xmlns:xsi="http://www.w3.org/2001/XMLSchema-instance" xsi:type="dcterms:W3CDTF">2026-04-21T10:29:25Z</dcterms:modified>
</cp:coreProperties>
</file>